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  <sheet sheetId="2" name="Sheet2" state="visible" r:id="rId5"/>
  </sheets>
  <definedNames>
    <definedName name="_xlnm.Print_Area" localSheetId="0">'Sheet1'!$A1:$O49</definedName>
  </definedNames>
  <calcPr calcId="171027"/>
</workbook>
</file>

<file path=xl/sharedStrings.xml><?xml version="1.0" encoding="utf-8"?>
<sst xmlns="http://schemas.openxmlformats.org/spreadsheetml/2006/main" count="57" uniqueCount="52">
  <si>
    <t>Recipient copy</t>
  </si>
  <si>
    <t>Tax Invoice</t>
  </si>
  <si>
    <t>MARKS ENGINEERING &amp;Co.</t>
  </si>
  <si>
    <t xml:space="preserve"> GSTIN :- 22AXEPT4610L2ZF</t>
  </si>
  <si>
    <t xml:space="preserve"> Email : mec.cg.2021@gmail.com     Phone : 9340473578</t>
  </si>
  <si>
    <t>UDYAM REGISTRATION NUMBER :-   UDYAM-CG-02-0038609</t>
  </si>
  <si>
    <t>Office Address:- Flat No- 103 , Phase - 1 . Shanti Apartment , Tikrapara Road ,Bilaspur (C.G) , Pin Code: 495001</t>
  </si>
  <si>
    <t>Customer Details:</t>
  </si>
  <si>
    <t>Date</t>
  </si>
  <si>
    <t xml:space="preserve"> Bill To :</t>
  </si>
  <si>
    <t xml:space="preserve">NA
VEDANT ENTERPRIESES
INDUSTRIAL ROAD, TIFRA,BILASPUR, CHHATTISGARH-495001
GSTIN: 22KZRPK6724H1ZW</t>
  </si>
  <si>
    <t xml:space="preserve">Invoice </t>
  </si>
  <si>
    <t>MEC-2026-05-01</t>
  </si>
  <si>
    <t xml:space="preserve"> </t>
  </si>
  <si>
    <t xml:space="preserve"> P.O No.</t>
  </si>
  <si>
    <t>NA</t>
  </si>
  <si>
    <t>P.O. DATE</t>
  </si>
  <si>
    <t xml:space="preserve"> e-Way Bill No</t>
  </si>
  <si>
    <t xml:space="preserve"> Ship To :</t>
  </si>
  <si>
    <t>VEDANT ENTERPRIESES</t>
  </si>
  <si>
    <t xml:space="preserve"> Vehicle No</t>
  </si>
  <si>
    <t xml:space="preserve">Delivery Details </t>
  </si>
  <si>
    <t>Term of Payment</t>
  </si>
  <si>
    <t>Cash</t>
  </si>
  <si>
    <t>Sr. No.</t>
  </si>
  <si>
    <t>Particulars</t>
  </si>
  <si>
    <t xml:space="preserve">HSN/SAC
CODE</t>
  </si>
  <si>
    <t>QTY</t>
  </si>
  <si>
    <t>RATE</t>
  </si>
  <si>
    <t xml:space="preserve">TAXABLE 
VALUE</t>
  </si>
  <si>
    <t>CGST</t>
  </si>
  <si>
    <t>SGST</t>
  </si>
  <si>
    <t>IGST</t>
  </si>
  <si>
    <t>TOTAL</t>
  </si>
  <si>
    <t>Amount</t>
  </si>
  <si>
    <t>Grand Total (In Words)</t>
  </si>
  <si>
    <t>Three crore three hundred eighty three thousand three hundred fifty rupees</t>
  </si>
  <si>
    <t>Taxable Value</t>
  </si>
  <si>
    <t>Total CGST</t>
  </si>
  <si>
    <t xml:space="preserve"> Term &amp; Condition:</t>
  </si>
  <si>
    <t xml:space="preserve">   Bank Details :-
Bank Name :  Axis Bank
A/C No. :   921020030545764
Branch : Tifra bilaspur(c.g.)
 IFSC :  UTIB0003611</t>
  </si>
  <si>
    <t>Total SGST</t>
  </si>
  <si>
    <t xml:space="preserve"> Client-supplied materials used at their own risk</t>
  </si>
  <si>
    <t>Total IGST</t>
  </si>
  <si>
    <t xml:space="preserve"> Delays due to site access or third-party issues not our responsibility.</t>
  </si>
  <si>
    <t>Round Off</t>
  </si>
  <si>
    <t>Grand Total</t>
  </si>
  <si>
    <t xml:space="preserve"> All disputes, if any, are subject to the jurisdiction of Bilaspur only.</t>
  </si>
  <si>
    <t xml:space="preserve"> Authorised Signatory</t>
  </si>
  <si>
    <t>Declaration:   We hereby declare that the goods/services mentioned in this invoice are liable to GST as per applicable rates and the input credit is admissible.</t>
  </si>
  <si>
    <t>Note: Make all cheques payable to Company Name</t>
  </si>
  <si>
    <t>Thank you for your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</si>
</sst>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i/>
      <color theme="1"/>
      <family val="2"/>
      <scheme val="minor"/>
      <sz val="20"/>
      <name val="Calibri"/>
    </font>
    <font>
      <b/>
      <u/>
      <color theme="1"/>
      <family val="2"/>
      <scheme val="minor"/>
      <sz val="30"/>
      <name val="Calibri"/>
    </font>
    <font>
      <color theme="1"/>
      <family val="2"/>
      <sz val="54"/>
      <name val="Arial Rounded MT Bold"/>
    </font>
    <font>
      <b/>
      <color theme="1"/>
      <family val="2"/>
      <scheme val="minor"/>
      <sz val="24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22"/>
      <name val="Calibri"/>
    </font>
    <font>
      <color theme="1"/>
      <family val="2"/>
      <scheme val="minor"/>
      <sz val="16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6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2" xfId="0" applyFont="1" applyBorder="1"/>
    <xf numFmtId="9" fontId="6" fillId="0" borderId="3" xfId="0" applyNumberFormat="1" applyFont="1" applyBorder="1"/>
    <xf numFmtId="2" fontId="6" fillId="0" borderId="3" xfId="0" applyNumberFormat="1" applyFont="1" applyBorder="1"/>
    <xf numFmtId="0" fontId="6" fillId="0" borderId="17" xfId="0" applyFont="1" applyBorder="1"/>
    <xf numFmtId="0" fontId="6" fillId="0" borderId="0" xfId="0" applyFont="1" applyAlignment="1">
      <alignment horizontal="center" vertical="center" wrapText="1"/>
    </xf>
    <xf numFmtId="0" fontId="6" fillId="0" borderId="5" xfId="0" applyFont="1" applyBorder="1"/>
    <xf numFmtId="0" fontId="6" fillId="0" borderId="0" xfId="0" applyFont="1"/>
    <xf numFmtId="9" fontId="6" fillId="0" borderId="5" xfId="0" applyNumberFormat="1" applyFont="1" applyBorder="1"/>
    <xf numFmtId="2" fontId="6" fillId="0" borderId="5" xfId="0" applyNumberFormat="1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8" fillId="0" borderId="17" xfId="0" applyFont="1" applyBorder="1"/>
    <xf numFmtId="0" fontId="6" fillId="0" borderId="4" xfId="0" applyFont="1" applyBorder="1"/>
    <xf numFmtId="0" fontId="8" fillId="0" borderId="18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8" xfId="0" applyFont="1" applyBorder="1"/>
    <xf numFmtId="0" fontId="6" fillId="0" borderId="9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9" xfId="0" applyFont="1" applyBorder="1"/>
    <xf numFmtId="2" fontId="6" fillId="0" borderId="19" xfId="0" applyNumberFormat="1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center"/>
    </xf>
    <xf numFmtId="2" fontId="6" fillId="0" borderId="25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242522</xdr:colOff>
      <xdr:row>2</xdr:row>
      <xdr:rowOff>87286</xdr:rowOff>
    </xdr:from>
    <xdr:ext cx="1887387" cy="136583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"/>
  <sheetViews>
    <sheetView workbookViewId="0" zoomScale="40" zoomScaleNormal="84">
      <selection activeCell="F25" sqref="F25"/>
    </sheetView>
  </sheetViews>
  <sheetFormatPr defaultRowHeight="14.5" outlineLevelRow="0" outlineLevelCol="0" x14ac:dyDescent="0.35" customHeight="1"/>
  <cols>
    <col min="1" max="1" width="5.90625" customWidth="1"/>
    <col min="4" max="4" width="19" customWidth="1"/>
    <col min="5" max="5" width="12.54296875" customWidth="1"/>
    <col min="6" max="6" width="13.36328125" customWidth="1"/>
    <col min="7" max="7" width="10.54296875" customWidth="1"/>
    <col min="8" max="8" width="15.1796875" customWidth="1"/>
    <col min="9" max="9" width="7.54296875" customWidth="1"/>
    <col min="10" max="10" width="14.36328125" customWidth="1"/>
    <col min="11" max="11" width="7.81640625" customWidth="1"/>
    <col min="12" max="12" width="13.81640625" customWidth="1"/>
    <col min="13" max="13" width="9.453125" customWidth="1"/>
    <col min="14" max="14" width="14.453125" customWidth="1"/>
    <col min="15" max="15" width="20.7265625" customWidth="1"/>
  </cols>
  <sheetData>
    <row r="1" ht="26" customHeight="1" spans="1:1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4" t="s">
        <v>0</v>
      </c>
      <c r="N1" s="4"/>
      <c r="O1" s="5"/>
    </row>
    <row r="2" ht="38.5" customHeight="1" spans="1:15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x14ac:dyDescent="0.25">
      <c r="A3" s="9"/>
      <c r="D3" s="10" t="s">
        <v>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x14ac:dyDescent="0.25">
      <c r="A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x14ac:dyDescent="0.25">
      <c r="A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5" x14ac:dyDescent="0.25">
      <c r="A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ht="31" customHeight="1" spans="1:15" x14ac:dyDescent="0.25">
      <c r="A7" s="12" t="s">
        <v>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 ht="21" customHeight="1" spans="1:15" x14ac:dyDescent="0.25">
      <c r="A8" s="15" t="s">
        <v>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ht="21.5" customHeight="1" spans="1:15" x14ac:dyDescent="0.25">
      <c r="A9" s="18" t="s">
        <v>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ht="30" customHeight="1" spans="1:15" x14ac:dyDescent="0.25">
      <c r="A10" s="21" t="s">
        <v>6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</row>
    <row r="11" ht="30" customHeight="1" spans="1:15" x14ac:dyDescent="0.25">
      <c r="A11" s="18" t="s">
        <v>7</v>
      </c>
      <c r="B11" s="19"/>
      <c r="C11" s="19"/>
      <c r="D11" s="19"/>
      <c r="E11" s="19"/>
      <c r="F11" s="19"/>
      <c r="G11" s="19"/>
      <c r="H11" s="19"/>
      <c r="I11" s="19"/>
      <c r="J11" s="19"/>
      <c r="K11" s="20"/>
      <c r="L11" s="18" t="s">
        <v>8</v>
      </c>
      <c r="M11" s="19"/>
      <c r="N11" s="24">
        <v>46150.25944207176</v>
      </c>
      <c r="O11" s="20"/>
    </row>
    <row r="12" ht="30" customHeight="1" spans="1:16" x14ac:dyDescent="0.25">
      <c r="A12" s="25" t="s">
        <v>9</v>
      </c>
      <c r="B12" s="26"/>
      <c r="C12" s="27" t="s">
        <v>10</v>
      </c>
      <c r="D12" s="28"/>
      <c r="E12" s="28"/>
      <c r="F12" s="28"/>
      <c r="G12" s="28"/>
      <c r="H12" s="28"/>
      <c r="I12" s="28"/>
      <c r="J12" s="28"/>
      <c r="K12" s="29"/>
      <c r="L12" s="30" t="s">
        <v>11</v>
      </c>
      <c r="M12" s="31"/>
      <c r="N12" s="32" t="s">
        <v>12</v>
      </c>
      <c r="O12" s="33"/>
      <c r="P12" t="s">
        <v>13</v>
      </c>
    </row>
    <row r="13" ht="30" customHeight="1" spans="1:15" x14ac:dyDescent="0.25">
      <c r="A13" s="34"/>
      <c r="B13" s="35"/>
      <c r="C13" s="36"/>
      <c r="D13" s="37"/>
      <c r="E13" s="37"/>
      <c r="F13" s="37"/>
      <c r="G13" s="37"/>
      <c r="H13" s="37"/>
      <c r="I13" s="37"/>
      <c r="J13" s="37"/>
      <c r="K13" s="38"/>
      <c r="L13" s="39" t="s">
        <v>14</v>
      </c>
      <c r="M13" s="40"/>
      <c r="N13" s="41" t="s">
        <v>15</v>
      </c>
      <c r="O13" s="33"/>
    </row>
    <row r="14" ht="30" customHeight="1" spans="1:15" x14ac:dyDescent="0.25">
      <c r="A14" s="34"/>
      <c r="B14" s="35"/>
      <c r="C14" s="36"/>
      <c r="D14" s="37"/>
      <c r="E14" s="37"/>
      <c r="F14" s="37"/>
      <c r="G14" s="37"/>
      <c r="H14" s="37"/>
      <c r="I14" s="37"/>
      <c r="J14" s="37"/>
      <c r="K14" s="38"/>
      <c r="L14" s="42" t="s">
        <v>16</v>
      </c>
      <c r="M14" s="43"/>
      <c r="N14" s="42"/>
      <c r="O14" s="44"/>
    </row>
    <row r="15" ht="30" customHeight="1" spans="1:15" x14ac:dyDescent="0.25">
      <c r="A15" s="45"/>
      <c r="B15" s="46"/>
      <c r="C15" s="47"/>
      <c r="D15" s="48"/>
      <c r="E15" s="48"/>
      <c r="F15" s="48"/>
      <c r="G15" s="48"/>
      <c r="H15" s="48"/>
      <c r="I15" s="48"/>
      <c r="J15" s="48"/>
      <c r="K15" s="49"/>
      <c r="L15" s="42" t="s">
        <v>17</v>
      </c>
      <c r="M15" s="43"/>
      <c r="N15" s="42"/>
      <c r="O15" s="44"/>
    </row>
    <row r="16" ht="30" customHeight="1" spans="1:15" x14ac:dyDescent="0.25">
      <c r="A16" s="25" t="s">
        <v>18</v>
      </c>
      <c r="B16" s="26"/>
      <c r="C16" s="27" t="s">
        <v>19</v>
      </c>
      <c r="D16" s="28"/>
      <c r="E16" s="28"/>
      <c r="F16" s="28"/>
      <c r="G16" s="28"/>
      <c r="H16" s="28"/>
      <c r="I16" s="28"/>
      <c r="J16" s="28"/>
      <c r="K16" s="29"/>
      <c r="L16" s="22" t="s">
        <v>20</v>
      </c>
      <c r="M16" s="50"/>
      <c r="N16" s="51"/>
      <c r="O16" s="52"/>
    </row>
    <row r="17" ht="30" customHeight="1" spans="1:15" x14ac:dyDescent="0.25">
      <c r="A17" s="34"/>
      <c r="B17" s="35"/>
      <c r="C17" s="36"/>
      <c r="D17" s="37"/>
      <c r="E17" s="37"/>
      <c r="F17" s="37"/>
      <c r="G17" s="37"/>
      <c r="H17" s="37"/>
      <c r="I17" s="37"/>
      <c r="J17" s="37"/>
      <c r="K17" s="38"/>
      <c r="L17" s="21" t="s">
        <v>21</v>
      </c>
      <c r="M17" s="50"/>
      <c r="N17" s="53"/>
      <c r="O17" s="52"/>
    </row>
    <row r="18" ht="44.5" customHeight="1" spans="1:15" x14ac:dyDescent="0.25">
      <c r="A18" s="45"/>
      <c r="B18" s="46"/>
      <c r="C18" s="47"/>
      <c r="D18" s="48"/>
      <c r="E18" s="48"/>
      <c r="F18" s="48"/>
      <c r="G18" s="48"/>
      <c r="H18" s="48"/>
      <c r="I18" s="48"/>
      <c r="J18" s="48"/>
      <c r="K18" s="49"/>
      <c r="L18" s="54" t="s">
        <v>22</v>
      </c>
      <c r="M18" s="55"/>
      <c r="N18" s="56" t="s">
        <v>23</v>
      </c>
      <c r="O18" s="52"/>
    </row>
    <row r="19" ht="30" customHeight="1" spans="1:15" x14ac:dyDescent="0.25">
      <c r="A19" s="57" t="s">
        <v>24</v>
      </c>
      <c r="B19" s="30" t="s">
        <v>25</v>
      </c>
      <c r="C19" s="41"/>
      <c r="D19" s="17"/>
      <c r="E19" s="58" t="s">
        <v>26</v>
      </c>
      <c r="F19" s="59" t="s">
        <v>27</v>
      </c>
      <c r="G19" s="59" t="s">
        <v>28</v>
      </c>
      <c r="H19" s="58" t="s">
        <v>29</v>
      </c>
      <c r="I19" s="18" t="s">
        <v>30</v>
      </c>
      <c r="J19" s="20"/>
      <c r="K19" s="18" t="s">
        <v>31</v>
      </c>
      <c r="L19" s="44"/>
      <c r="M19" s="60" t="s">
        <v>32</v>
      </c>
      <c r="N19" s="44"/>
      <c r="O19" s="61" t="s">
        <v>33</v>
      </c>
    </row>
    <row r="20" ht="30" customHeight="1" spans="1:15" x14ac:dyDescent="0.25">
      <c r="A20" s="62"/>
      <c r="B20" s="18"/>
      <c r="C20" s="19"/>
      <c r="D20" s="20"/>
      <c r="E20" s="62"/>
      <c r="F20" s="63"/>
      <c r="G20" s="63"/>
      <c r="H20" s="58"/>
      <c r="I20" s="61" t="s">
        <v>28</v>
      </c>
      <c r="J20" s="61" t="s">
        <v>34</v>
      </c>
      <c r="K20" s="61" t="s">
        <v>28</v>
      </c>
      <c r="L20" s="61" t="s">
        <v>34</v>
      </c>
      <c r="M20" s="61" t="s">
        <v>28</v>
      </c>
      <c r="N20" s="64" t="s">
        <v>34</v>
      </c>
      <c r="O20" s="63"/>
    </row>
    <row r="21" ht="30" customHeight="1" spans="1:15" x14ac:dyDescent="0.25">
      <c r="A21" s="65">
        <v>1</v>
      </c>
      <c r="B21" s="25">
        <v>1000</v>
      </c>
      <c r="C21" s="66"/>
      <c r="D21" s="26"/>
      <c r="E21" s="67">
        <v>32.5</v>
      </c>
      <c r="F21" s="67">
        <v>32500</v>
      </c>
      <c r="G21" s="68">
        <v>9</v>
      </c>
      <c r="H21" s="65">
        <v>2925</v>
      </c>
      <c r="I21" s="69">
        <v>9</v>
      </c>
      <c r="J21" s="67">
        <v>2925</v>
      </c>
      <c r="K21" s="69">
        <v>0</v>
      </c>
      <c r="L21" s="67">
        <v>0</v>
      </c>
      <c r="M21" s="69">
        <v>38350</v>
      </c>
      <c r="N21" s="67" t="e">
        <f>H21*M21</f>
        <v>#VALUE!</v>
      </c>
      <c r="O21" s="70" t="e">
        <f>H21+J21+L21+N21</f>
        <v>#VALUE!</v>
      </c>
    </row>
    <row r="22" ht="30" customHeight="1" spans="1:15" x14ac:dyDescent="0.25">
      <c r="A22" s="71"/>
      <c r="B22" s="34"/>
      <c r="C22" s="72"/>
      <c r="D22" s="35"/>
      <c r="E22" s="73"/>
      <c r="F22" s="73"/>
      <c r="G22" s="74"/>
      <c r="H22" s="71" t="e">
        <f>VALUE(LEFT(F22, FIND(" ", F22)-1))*G22</f>
        <v>#VALUE!</v>
      </c>
      <c r="I22" s="75">
        <v>0.09</v>
      </c>
      <c r="J22" s="73" t="e">
        <f>H22*I22</f>
        <v>#VALUE!</v>
      </c>
      <c r="K22" s="75">
        <v>0.09</v>
      </c>
      <c r="L22" s="73" t="e">
        <f>H22*K22</f>
        <v>#VALUE!</v>
      </c>
      <c r="M22" s="75">
        <v>0</v>
      </c>
      <c r="N22" s="73" t="e">
        <f>H22*M22</f>
        <v>#VALUE!</v>
      </c>
      <c r="O22" s="76" t="e">
        <f>H22+J22+L22+N22</f>
        <v>#VALUE!</v>
      </c>
    </row>
    <row r="23" ht="30" customHeight="1" spans="1:15" x14ac:dyDescent="0.25">
      <c r="A23" s="71"/>
      <c r="B23" s="77"/>
      <c r="C23" s="78"/>
      <c r="D23" s="79"/>
      <c r="E23" s="73"/>
      <c r="F23" s="73"/>
      <c r="G23" s="74"/>
      <c r="H23" s="71"/>
      <c r="I23" s="75"/>
      <c r="J23" s="73"/>
      <c r="K23" s="75"/>
      <c r="L23" s="73"/>
      <c r="M23" s="75"/>
      <c r="N23" s="73"/>
      <c r="O23" s="76"/>
    </row>
    <row r="24" ht="30" customHeight="1" spans="1:15" x14ac:dyDescent="0.25">
      <c r="A24" s="71"/>
      <c r="B24" s="80"/>
      <c r="C24" s="81"/>
      <c r="D24" s="82"/>
      <c r="E24" s="73"/>
      <c r="F24" s="73"/>
      <c r="G24" s="74"/>
      <c r="H24" s="71"/>
      <c r="I24" s="75"/>
      <c r="J24" s="73"/>
      <c r="K24" s="75"/>
      <c r="L24" s="73"/>
      <c r="M24" s="75"/>
      <c r="N24" s="73"/>
      <c r="O24" s="76"/>
    </row>
    <row r="25" ht="30" customHeight="1" spans="1:15" x14ac:dyDescent="0.25">
      <c r="A25" s="83"/>
      <c r="B25" s="80"/>
      <c r="C25" s="81"/>
      <c r="D25" s="82"/>
      <c r="E25" s="73"/>
      <c r="F25" s="73"/>
      <c r="G25" s="74"/>
      <c r="H25" s="71"/>
      <c r="I25" s="75"/>
      <c r="J25" s="73"/>
      <c r="K25" s="75"/>
      <c r="L25" s="73"/>
      <c r="M25" s="75"/>
      <c r="N25" s="73"/>
      <c r="O25" s="76"/>
    </row>
    <row r="26" ht="30" customHeight="1" spans="1:15" x14ac:dyDescent="0.25">
      <c r="A26" s="71"/>
      <c r="B26" s="77"/>
      <c r="C26" s="78"/>
      <c r="D26" s="79"/>
      <c r="E26" s="73"/>
      <c r="F26" s="73"/>
      <c r="G26" s="74"/>
      <c r="H26" s="71"/>
      <c r="I26" s="75"/>
      <c r="J26" s="73"/>
      <c r="K26" s="75"/>
      <c r="L26" s="73"/>
      <c r="M26" s="75"/>
      <c r="N26" s="73"/>
      <c r="O26" s="76"/>
    </row>
    <row r="27" ht="30" customHeight="1" spans="1:15" x14ac:dyDescent="0.25">
      <c r="A27" s="83"/>
      <c r="B27" s="77"/>
      <c r="C27" s="78"/>
      <c r="D27" s="79"/>
      <c r="E27" s="73"/>
      <c r="F27" s="73"/>
      <c r="G27" s="74"/>
      <c r="H27" s="71"/>
      <c r="I27" s="73"/>
      <c r="J27" s="73"/>
      <c r="K27" s="73"/>
      <c r="L27" s="73"/>
      <c r="M27" s="73"/>
      <c r="N27" s="73"/>
      <c r="O27" s="73"/>
    </row>
    <row r="28" ht="30" customHeight="1" spans="1:15" x14ac:dyDescent="0.25">
      <c r="A28" s="83"/>
      <c r="B28" s="77"/>
      <c r="C28" s="78"/>
      <c r="D28" s="79"/>
      <c r="E28" s="73"/>
      <c r="F28" s="73"/>
      <c r="G28" s="74"/>
      <c r="H28" s="71"/>
      <c r="I28" s="73"/>
      <c r="J28" s="73"/>
      <c r="K28" s="73"/>
      <c r="L28" s="73"/>
      <c r="M28" s="73"/>
      <c r="N28" s="73"/>
      <c r="O28" s="73"/>
    </row>
    <row r="29" ht="30" customHeight="1" spans="1:15" x14ac:dyDescent="0.25">
      <c r="A29" s="83"/>
      <c r="B29" s="77"/>
      <c r="C29" s="78"/>
      <c r="D29" s="79"/>
      <c r="E29" s="73"/>
      <c r="F29" s="73"/>
      <c r="G29" s="74"/>
      <c r="H29" s="71"/>
      <c r="I29" s="73"/>
      <c r="J29" s="73"/>
      <c r="K29" s="73"/>
      <c r="L29" s="73"/>
      <c r="M29" s="73"/>
      <c r="N29" s="73"/>
      <c r="O29" s="73"/>
    </row>
    <row r="30" ht="30" customHeight="1" spans="1:15" x14ac:dyDescent="0.25">
      <c r="A30" s="83"/>
      <c r="B30" s="77"/>
      <c r="C30" s="78"/>
      <c r="D30" s="79"/>
      <c r="E30" s="73"/>
      <c r="F30" s="73"/>
      <c r="G30" s="74"/>
      <c r="H30" s="71"/>
      <c r="I30" s="73"/>
      <c r="J30" s="73"/>
      <c r="K30" s="73"/>
      <c r="L30" s="73"/>
      <c r="M30" s="73"/>
      <c r="N30" s="73"/>
      <c r="O30" s="73"/>
    </row>
    <row r="31" ht="30" customHeight="1" spans="1:15" x14ac:dyDescent="0.25">
      <c r="A31" s="83"/>
      <c r="B31" s="77"/>
      <c r="C31" s="78"/>
      <c r="D31" s="79"/>
      <c r="E31" s="73"/>
      <c r="F31" s="73"/>
      <c r="G31" s="74"/>
      <c r="H31" s="71"/>
      <c r="I31" s="73"/>
      <c r="J31" s="73"/>
      <c r="K31" s="73"/>
      <c r="L31" s="73"/>
      <c r="M31" s="73"/>
      <c r="N31" s="73"/>
      <c r="O31" s="73"/>
    </row>
    <row r="32" ht="30" customHeight="1" spans="1:15" x14ac:dyDescent="0.25">
      <c r="A32" s="83"/>
      <c r="B32" s="77"/>
      <c r="C32" s="78"/>
      <c r="D32" s="79"/>
      <c r="E32" s="73"/>
      <c r="F32" s="73"/>
      <c r="G32" s="74"/>
      <c r="H32" s="71"/>
      <c r="I32" s="73"/>
      <c r="J32" s="73"/>
      <c r="K32" s="73"/>
      <c r="L32" s="73"/>
      <c r="M32" s="73"/>
      <c r="N32" s="73"/>
      <c r="O32" s="73"/>
    </row>
    <row r="33" ht="30" customHeight="1" spans="1:15" x14ac:dyDescent="0.25">
      <c r="A33" s="83"/>
      <c r="B33" s="84"/>
      <c r="C33" s="74"/>
      <c r="D33" s="73"/>
      <c r="E33" s="73"/>
      <c r="F33" s="73"/>
      <c r="G33" s="74"/>
      <c r="H33" s="71"/>
      <c r="I33" s="73"/>
      <c r="J33" s="73"/>
      <c r="K33" s="73"/>
      <c r="L33" s="73"/>
      <c r="M33" s="73"/>
      <c r="N33" s="73"/>
      <c r="O33" s="73"/>
    </row>
    <row r="34" ht="30" customHeight="1" spans="1:15" x14ac:dyDescent="0.25">
      <c r="A34" s="83"/>
      <c r="B34" s="84"/>
      <c r="C34" s="74"/>
      <c r="D34" s="73"/>
      <c r="E34" s="73"/>
      <c r="F34" s="73"/>
      <c r="G34" s="74"/>
      <c r="H34" s="71"/>
      <c r="I34" s="73"/>
      <c r="J34" s="73"/>
      <c r="K34" s="73"/>
      <c r="L34" s="73"/>
      <c r="M34" s="73"/>
      <c r="N34" s="73"/>
      <c r="O34" s="73"/>
    </row>
    <row r="35" ht="30" customHeight="1" spans="1:15" x14ac:dyDescent="0.25">
      <c r="A35" s="83"/>
      <c r="B35" s="84"/>
      <c r="C35" s="74"/>
      <c r="D35" s="73"/>
      <c r="E35" s="73"/>
      <c r="F35" s="73"/>
      <c r="G35" s="74"/>
      <c r="H35" s="71"/>
      <c r="I35" s="73"/>
      <c r="J35" s="73"/>
      <c r="K35" s="73"/>
      <c r="L35" s="73"/>
      <c r="M35" s="73"/>
      <c r="N35" s="73"/>
      <c r="O35" s="73"/>
    </row>
    <row r="36" ht="30" customHeight="1" spans="1:15" x14ac:dyDescent="0.25">
      <c r="A36" s="85"/>
      <c r="B36" s="86"/>
      <c r="C36" s="87"/>
      <c r="D36" s="88"/>
      <c r="E36" s="88"/>
      <c r="F36" s="88"/>
      <c r="G36" s="87"/>
      <c r="H36" s="89"/>
      <c r="I36" s="88"/>
      <c r="J36" s="88"/>
      <c r="K36" s="88"/>
      <c r="L36" s="88"/>
      <c r="M36" s="88"/>
      <c r="N36" s="88"/>
      <c r="O36" s="88"/>
    </row>
    <row r="37" ht="30" customHeight="1" spans="1:15" x14ac:dyDescent="0.25">
      <c r="A37" s="90">
        <v>32500</v>
      </c>
      <c r="B37" s="91"/>
      <c r="C37" s="91"/>
      <c r="D37" s="91"/>
      <c r="E37" s="91"/>
      <c r="F37" s="91"/>
      <c r="G37" s="92"/>
      <c r="H37" s="89">
        <v>2925</v>
      </c>
      <c r="I37" s="93"/>
      <c r="J37" s="93">
        <v>2925</v>
      </c>
      <c r="K37" s="93"/>
      <c r="L37" s="93">
        <v>0</v>
      </c>
      <c r="M37" s="93">
        <v>38350</v>
      </c>
      <c r="N37" s="93" t="e">
        <f>SUM(N21:N36)</f>
        <v>#VALUE!</v>
      </c>
      <c r="O37" s="94" t="e">
        <f>SUM(O21:O36)</f>
        <v>#VALUE!</v>
      </c>
    </row>
    <row r="38" ht="30" customHeight="1" spans="1:15" x14ac:dyDescent="0.25">
      <c r="A38" s="25" t="s">
        <v>35</v>
      </c>
      <c r="B38" s="26"/>
      <c r="C38" s="25" t="s">
        <v>36</v>
      </c>
      <c r="D38" s="66"/>
      <c r="E38" s="66"/>
      <c r="F38" s="66"/>
      <c r="G38" s="66"/>
      <c r="H38" s="66"/>
      <c r="I38" s="66"/>
      <c r="J38" s="26"/>
      <c r="K38" s="60" t="s">
        <v>37</v>
      </c>
      <c r="L38" s="42"/>
      <c r="M38" s="95"/>
      <c r="N38" s="96" t="e">
        <f>SUM(H21:H36)</f>
        <v>#VALUE!</v>
      </c>
      <c r="O38" s="44"/>
    </row>
    <row r="39" ht="30" customHeight="1" spans="1:15" x14ac:dyDescent="0.25">
      <c r="A39" s="45"/>
      <c r="B39" s="46"/>
      <c r="C39" s="45"/>
      <c r="D39" s="97"/>
      <c r="E39" s="97"/>
      <c r="F39" s="97"/>
      <c r="G39" s="97"/>
      <c r="H39" s="97"/>
      <c r="I39" s="97"/>
      <c r="J39" s="46"/>
      <c r="K39" s="18" t="s">
        <v>38</v>
      </c>
      <c r="L39" s="19"/>
      <c r="M39" s="98"/>
      <c r="N39" s="99" t="e">
        <f>SUM(J21:J36)</f>
        <v>#VALUE!</v>
      </c>
      <c r="O39" s="20"/>
    </row>
    <row r="40" ht="30" customHeight="1" spans="1:15" x14ac:dyDescent="0.25">
      <c r="A40" s="100" t="s">
        <v>39</v>
      </c>
      <c r="B40" s="101"/>
      <c r="C40" s="101"/>
      <c r="D40" s="101"/>
      <c r="E40" s="101"/>
      <c r="F40" s="102"/>
      <c r="G40" s="100" t="s">
        <v>40</v>
      </c>
      <c r="H40" s="101"/>
      <c r="I40" s="101"/>
      <c r="J40" s="102"/>
      <c r="K40" s="60" t="s">
        <v>41</v>
      </c>
      <c r="L40" s="42"/>
      <c r="M40" s="43"/>
      <c r="N40" s="103" t="e">
        <f>SUM(L21:L36)</f>
        <v>#VALUE!</v>
      </c>
      <c r="O40" s="44"/>
    </row>
    <row r="41" ht="30" customHeight="1" spans="1:15" x14ac:dyDescent="0.25">
      <c r="A41" s="104" t="s">
        <v>42</v>
      </c>
      <c r="B41" s="105"/>
      <c r="C41" s="105"/>
      <c r="D41" s="105"/>
      <c r="E41" s="105"/>
      <c r="F41" s="106"/>
      <c r="G41" s="107"/>
      <c r="H41" s="108"/>
      <c r="I41" s="108"/>
      <c r="J41" s="109"/>
      <c r="K41" s="18" t="s">
        <v>43</v>
      </c>
      <c r="L41" s="19"/>
      <c r="M41" s="98"/>
      <c r="N41" s="99" t="e">
        <f>SUM(N21:N36)</f>
        <v>#VALUE!</v>
      </c>
      <c r="O41" s="20"/>
    </row>
    <row r="42" ht="30" customHeight="1" spans="1:15" x14ac:dyDescent="0.25">
      <c r="A42" s="104" t="s">
        <v>44</v>
      </c>
      <c r="B42" s="105"/>
      <c r="C42" s="105"/>
      <c r="D42" s="105"/>
      <c r="E42" s="105"/>
      <c r="F42" s="106"/>
      <c r="G42" s="107"/>
      <c r="H42" s="108"/>
      <c r="I42" s="108"/>
      <c r="J42" s="109"/>
      <c r="K42" s="18" t="s">
        <v>45</v>
      </c>
      <c r="L42" s="19"/>
      <c r="M42" s="110"/>
      <c r="N42" s="111" t="e">
        <f>ROUND(O37, 0) - O37</f>
        <v>#VALUE!</v>
      </c>
      <c r="O42" s="112"/>
    </row>
    <row r="43" ht="30" customHeight="1" spans="1:15" x14ac:dyDescent="0.25">
      <c r="A43" s="104"/>
      <c r="B43" s="105"/>
      <c r="C43" s="105"/>
      <c r="D43" s="105"/>
      <c r="E43" s="105"/>
      <c r="F43" s="106"/>
      <c r="G43" s="107"/>
      <c r="H43" s="108"/>
      <c r="I43" s="108"/>
      <c r="J43" s="109"/>
      <c r="K43" s="18" t="s">
        <v>46</v>
      </c>
      <c r="L43" s="19"/>
      <c r="M43" s="98"/>
      <c r="N43" s="99">
        <v>38350</v>
      </c>
      <c r="O43" s="20"/>
    </row>
    <row r="44" ht="30" customHeight="1" spans="1:15" x14ac:dyDescent="0.25">
      <c r="A44" s="104" t="s">
        <v>47</v>
      </c>
      <c r="B44" s="105"/>
      <c r="C44" s="105"/>
      <c r="D44" s="105"/>
      <c r="E44" s="105"/>
      <c r="F44" s="106"/>
      <c r="G44" s="107"/>
      <c r="H44" s="108"/>
      <c r="I44" s="108"/>
      <c r="J44" s="109"/>
      <c r="K44" s="113" t="s">
        <v>48</v>
      </c>
      <c r="L44" s="39"/>
      <c r="M44" s="39"/>
      <c r="N44" s="39"/>
      <c r="O44" s="114"/>
    </row>
    <row r="45" ht="30" customHeight="1" spans="1:15" x14ac:dyDescent="0.25">
      <c r="A45" s="115"/>
      <c r="B45" s="116"/>
      <c r="C45" s="116"/>
      <c r="D45" s="116"/>
      <c r="E45" s="116"/>
      <c r="F45" s="117"/>
      <c r="G45" s="118"/>
      <c r="H45" s="119"/>
      <c r="I45" s="119"/>
      <c r="J45" s="120"/>
      <c r="K45" s="77"/>
      <c r="L45" s="78"/>
      <c r="M45" s="78"/>
      <c r="N45" s="78"/>
      <c r="O45" s="79"/>
    </row>
    <row r="46" ht="30" customHeight="1" spans="1:15" x14ac:dyDescent="0.25">
      <c r="A46" s="25" t="s">
        <v>49</v>
      </c>
      <c r="B46" s="66"/>
      <c r="C46" s="66"/>
      <c r="D46" s="66"/>
      <c r="E46" s="66"/>
      <c r="F46" s="66"/>
      <c r="G46" s="66"/>
      <c r="H46" s="66"/>
      <c r="I46" s="66"/>
      <c r="J46" s="26"/>
      <c r="K46" s="77"/>
      <c r="L46" s="78"/>
      <c r="M46" s="78"/>
      <c r="N46" s="78"/>
      <c r="O46" s="79"/>
    </row>
    <row r="47" ht="30" customHeight="1" spans="1:15" x14ac:dyDescent="0.25">
      <c r="A47" s="45"/>
      <c r="B47" s="97"/>
      <c r="C47" s="97"/>
      <c r="D47" s="97"/>
      <c r="E47" s="97"/>
      <c r="F47" s="97"/>
      <c r="G47" s="97"/>
      <c r="H47" s="97"/>
      <c r="I47" s="97"/>
      <c r="J47" s="46"/>
      <c r="K47" s="77"/>
      <c r="L47" s="78"/>
      <c r="M47" s="78"/>
      <c r="N47" s="78"/>
      <c r="O47" s="79"/>
    </row>
    <row r="48" ht="30" customHeight="1" spans="1:15" x14ac:dyDescent="0.25">
      <c r="A48" s="60" t="s">
        <v>50</v>
      </c>
      <c r="B48" s="42"/>
      <c r="C48" s="42"/>
      <c r="D48" s="42"/>
      <c r="E48" s="42"/>
      <c r="F48" s="42"/>
      <c r="G48" s="42"/>
      <c r="H48" s="42"/>
      <c r="I48" s="42"/>
      <c r="J48" s="44"/>
      <c r="K48" s="77"/>
      <c r="L48" s="78"/>
      <c r="M48" s="78"/>
      <c r="N48" s="78"/>
      <c r="O48" s="79"/>
    </row>
    <row r="49" ht="30" customHeight="1" spans="1:15" x14ac:dyDescent="0.25">
      <c r="A49" s="60" t="s">
        <v>51</v>
      </c>
      <c r="B49" s="42"/>
      <c r="C49" s="42"/>
      <c r="D49" s="42"/>
      <c r="E49" s="42"/>
      <c r="F49" s="42"/>
      <c r="G49" s="42"/>
      <c r="H49" s="42"/>
      <c r="I49" s="42"/>
      <c r="J49" s="44"/>
      <c r="K49" s="121"/>
      <c r="L49" s="122"/>
      <c r="M49" s="122"/>
      <c r="N49" s="122"/>
      <c r="O49" s="123"/>
    </row>
    <row r="50" ht="27.5" customHeight="1" x14ac:dyDescent="0.25"/>
    <row r="52" ht="40.5" customHeight="1" x14ac:dyDescent="0.25"/>
  </sheetData>
  <mergeCells count="68">
    <mergeCell ref="A1:E1"/>
    <mergeCell ref="F1:J1"/>
    <mergeCell ref="M1:O1"/>
    <mergeCell ref="A2:O2"/>
    <mergeCell ref="D3:O6"/>
    <mergeCell ref="A7:O7"/>
    <mergeCell ref="A8:O8"/>
    <mergeCell ref="A9:O9"/>
    <mergeCell ref="A10:O10"/>
    <mergeCell ref="A11:K11"/>
    <mergeCell ref="L11:M11"/>
    <mergeCell ref="N11:O11"/>
    <mergeCell ref="A12:B15"/>
    <mergeCell ref="C12:K15"/>
    <mergeCell ref="L12:M12"/>
    <mergeCell ref="N12:O12"/>
    <mergeCell ref="L13:M13"/>
    <mergeCell ref="N13:O13"/>
    <mergeCell ref="L14:M14"/>
    <mergeCell ref="N14:O14"/>
    <mergeCell ref="L15:M15"/>
    <mergeCell ref="N15:O15"/>
    <mergeCell ref="A16:B18"/>
    <mergeCell ref="C16:K18"/>
    <mergeCell ref="L16:M16"/>
    <mergeCell ref="N16:O16"/>
    <mergeCell ref="L17:M17"/>
    <mergeCell ref="N17:O17"/>
    <mergeCell ref="L18:M18"/>
    <mergeCell ref="N18:O18"/>
    <mergeCell ref="B19:D20"/>
    <mergeCell ref="I19:J19"/>
    <mergeCell ref="K19:L19"/>
    <mergeCell ref="M19:N19"/>
    <mergeCell ref="A19:A20"/>
    <mergeCell ref="E19:E20"/>
    <mergeCell ref="F19:F20"/>
    <mergeCell ref="G19:G20"/>
    <mergeCell ref="H19:H20"/>
    <mergeCell ref="O19:O20"/>
    <mergeCell ref="B21:D21"/>
    <mergeCell ref="B22:D22"/>
    <mergeCell ref="B23:D23"/>
    <mergeCell ref="B26:D26"/>
    <mergeCell ref="A37:G37"/>
    <mergeCell ref="A38:B39"/>
    <mergeCell ref="C38:J39"/>
    <mergeCell ref="K38:M38"/>
    <mergeCell ref="N38:O38"/>
    <mergeCell ref="K39:M39"/>
    <mergeCell ref="N39:O39"/>
    <mergeCell ref="A40:F40"/>
    <mergeCell ref="G40:J45"/>
    <mergeCell ref="K40:M40"/>
    <mergeCell ref="N40:O40"/>
    <mergeCell ref="A41:F41"/>
    <mergeCell ref="K41:M41"/>
    <mergeCell ref="N41:O41"/>
    <mergeCell ref="A42:F43"/>
    <mergeCell ref="K42:M42"/>
    <mergeCell ref="N42:O42"/>
    <mergeCell ref="K43:M43"/>
    <mergeCell ref="N43:O43"/>
    <mergeCell ref="A44:F45"/>
    <mergeCell ref="K44:O49"/>
    <mergeCell ref="A46:J47"/>
    <mergeCell ref="A48:J48"/>
    <mergeCell ref="A49:J49"/>
  </mergeCells>
  <dataValidations count="1">
    <dataValidation type="list" allowBlank="1" showInputMessage="1" showErrorMessage="1" sqref="M1:O1">
      <formula1>"Original copy,  Recipient copy, Transport Copy"</formula1>
    </dataValidation>
  </dataValidations>
  <printOptions horizontalCentered="1" verticalCentered="1"/>
  <pageMargins left="0.07874015748031496" right="0.07874015748031496" top="0.2362204724409449" bottom="0.2362204724409449" header="0.2362204724409449" footer="0.2362204724409449"/>
  <pageSetup paperSize="9" orientation="portrait" horizontalDpi="4294967295" verticalDpi="4294967295" scale="56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J12"/>
  <sheetViews>
    <sheetView workbookViewId="0" zoomScale="100" zoomScaleNormal="100">
      <selection activeCell="C6" sqref="C6"/>
    </sheetView>
  </sheetViews>
  <sheetFormatPr defaultRowHeight="14.5" outlineLevelRow="0" outlineLevelCol="0" x14ac:dyDescent="0.35" customHeight="1"/>
  <sheetData>
    <row r="6" ht="21" customHeight="1" spans="3:10" x14ac:dyDescent="0.25">
      <c r="C6" s="71" t="e">
        <f>VALUE(LEFT(A6, FIND(" ", A6)-1))*B6</f>
        <v>#VALUE!</v>
      </c>
      <c r="D6" s="75">
        <v>0</v>
      </c>
      <c r="E6" s="73" t="e">
        <f>C6*D6</f>
        <v>#VALUE!</v>
      </c>
      <c r="F6" s="75">
        <v>0</v>
      </c>
      <c r="G6" s="73" t="e">
        <f>C6*F6</f>
        <v>#VALUE!</v>
      </c>
      <c r="H6" s="75">
        <v>0</v>
      </c>
      <c r="I6" s="73" t="e">
        <f>C6*H6</f>
        <v>#VALUE!</v>
      </c>
      <c r="J6" s="76" t="e">
        <f>C6+E6+G6+I6</f>
        <v>#VALUE!</v>
      </c>
    </row>
    <row r="11" ht="15" customHeight="1" x14ac:dyDescent="0.25"/>
    <row r="12" ht="21" customHeight="1" spans="3:10" x14ac:dyDescent="0.25">
      <c r="C12" s="65" t="e">
        <f>VALUE(LEFT(A12, FIND(" ", A12)-1))*B12</f>
        <v>#VALUE!</v>
      </c>
      <c r="D12" s="69">
        <v>0.09</v>
      </c>
      <c r="E12" s="67" t="e">
        <f>C12*D12</f>
        <v>#VALUE!</v>
      </c>
      <c r="F12" s="69">
        <v>0.09</v>
      </c>
      <c r="G12" s="67" t="e">
        <f>C12*F12</f>
        <v>#VALUE!</v>
      </c>
      <c r="H12" s="69">
        <v>0</v>
      </c>
      <c r="I12" s="67" t="e">
        <f>C12*H12</f>
        <v>#VALUE!</v>
      </c>
      <c r="J12" s="70" t="e">
        <f>C12+E12+G12+I12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Tiwari</dc:creator>
  <cp:lastModifiedBy>Rajeev Tiwari</cp:lastModifiedBy>
  <cp:lastPrinted>2025-04-15T17:33:04Z</cp:lastPrinted>
  <dcterms:created xsi:type="dcterms:W3CDTF">2025-04-08T15:08:19Z</dcterms:created>
  <dcterms:modified xsi:type="dcterms:W3CDTF">2025-04-15T17:34:49Z</dcterms:modified>
</cp:coreProperties>
</file>